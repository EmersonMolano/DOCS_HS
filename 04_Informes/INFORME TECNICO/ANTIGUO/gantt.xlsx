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.Gantt" sheetId="1" r:id="rId4"/>
  </sheets>
  <externalReferences>
    <externalReference r:id="rId5"/>
  </externalReferences>
  <definedNames>
    <definedName name="origen">[1]Hoja1!$D$3:$D$6</definedName>
    <definedName name="rubros">[1]Hoja1!$A$3:$A$15</definedName>
    <definedName name="Excel_BuiltIn__FilterDatabase_6">#REF!</definedName>
  </definedNames>
  <calcPr/>
  <extLst>
    <ext uri="GoogleSheetsCustomDataVersion2">
      <go:sheetsCustomData xmlns:go="http://customooxmlschemas.google.com/" r:id="rId6" roundtripDataChecksum="IihYUUikG+oyQQ+YU2gtgrrbKyX4N2JqoSCI7c+ODjg="/>
    </ext>
  </extLst>
</workbook>
</file>

<file path=xl/sharedStrings.xml><?xml version="1.0" encoding="utf-8"?>
<sst xmlns="http://schemas.openxmlformats.org/spreadsheetml/2006/main" count="67" uniqueCount="67">
  <si>
    <t>Resumen Ejecutivo del Informe Tecnico</t>
  </si>
  <si>
    <t>Proyecto:  Smarth Home
Ficha: 3145555</t>
  </si>
  <si>
    <t>2  0  2  6</t>
  </si>
  <si>
    <t>ITEM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</si>
  <si>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</si>
  <si>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</si>
  <si>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</si>
  <si>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</si>
  <si>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</si>
  <si>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</si>
  <si>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</si>
  <si>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</si>
  <si>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</si>
  <si>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</si>
  <si>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</si>
  <si>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</si>
  <si>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Equipos y dispositivos</t>
  </si>
  <si>
    <t>ÁREAS (COMPETENCIAS)</t>
  </si>
  <si>
    <t>ACTIVIDADES (RAP)</t>
  </si>
  <si>
    <t>Componentes IoT y materiales</t>
  </si>
  <si>
    <t>Especificación de requisitos del software</t>
  </si>
  <si>
    <t>Caracterizar los procesos de la organización de acuerdo con el software a construir.</t>
  </si>
  <si>
    <t>Infraestructura en la nube</t>
  </si>
  <si>
    <t>Recolectar información del software a construir de acuerdo con las necesidades del cliente.</t>
  </si>
  <si>
    <t xml:space="preserve">Mano de obra técnica
</t>
  </si>
  <si>
    <t>Establecer los requisitos del software de acuerdo con la información recolectada.</t>
  </si>
  <si>
    <t xml:space="preserve">Recursos humanos
</t>
  </si>
  <si>
    <t>Validar el informe de requisitos de acuerdo con las necesidades del cliente.</t>
  </si>
  <si>
    <t>Costos operativos</t>
  </si>
  <si>
    <t>Informe de especificación de requisitos.</t>
  </si>
  <si>
    <t>2.000.000</t>
  </si>
  <si>
    <t>Análisis de la especificación de requisitos del software.</t>
  </si>
  <si>
    <t>Planear actividades de análisis de acuerdo con la metodología seleccionada.</t>
  </si>
  <si>
    <t xml:space="preserve">  </t>
  </si>
  <si>
    <t>TOTAL</t>
  </si>
  <si>
    <t>Modelar las funciones del software de acuerdo con  el informe de requisitos.</t>
  </si>
  <si>
    <t>Verificar los modelos realizados en la fase de análisis de acuerdo con lo establecido en el  informe de requisitos.</t>
  </si>
  <si>
    <t>Desarrollar procesos lógicos a través de la implementación de algoritmos.</t>
  </si>
  <si>
    <t>Documentación de análisis del software  (vistas dinámicas del software).</t>
  </si>
  <si>
    <t>Elaboración de la propuesta técnica del software</t>
  </si>
  <si>
    <t>Definir especificaciones técnicas de acuerdo con las características de la solución de software.</t>
  </si>
  <si>
    <t>Elaborar propuesta técnica del software de acuerdo con las especificaciones técnicas definidas</t>
  </si>
  <si>
    <t>Validar las condiciones de la propuesta técnica del software de acuerdo con los intereses de las partes.</t>
  </si>
  <si>
    <t>Documentación de propuesta técnica del software</t>
  </si>
  <si>
    <t>Modelado de los artefactos del software</t>
  </si>
  <si>
    <t>Estructurar el modelo de datos del software de acuerdo con las especificaciones del análisis.</t>
  </si>
  <si>
    <t>Elaborar los artefactos de diseño del software siguiendo las prácticas de la metodología seleccionada.</t>
  </si>
  <si>
    <t>Verificar los entregables de la fase de diseño del software de acuerdo con lo establecido en el  informe de análisis.</t>
  </si>
  <si>
    <t>Artefactos de código (aplicación escritorio, web, móvil)</t>
  </si>
  <si>
    <t>Construcción del software</t>
  </si>
  <si>
    <t xml:space="preserve">Construir la base de datos para el software a partir del modelo de datos. </t>
  </si>
  <si>
    <t xml:space="preserve">Crear componentes front-end del software de acuerdo con el diseño. </t>
  </si>
  <si>
    <t>Planear actividades de construcción del software de acuerdo con el diseño establecido.</t>
  </si>
  <si>
    <t>Codificar el software de acuerdo con el diseño establecido.</t>
  </si>
  <si>
    <t>Realizar pruebas al software para verificar su  funcionalidad.</t>
  </si>
  <si>
    <t>1. Documentación de diseño del software ( Interfaces gráficas, modelo arquitectónico, patrones de diseño, modelo de datos). 2. Documentación de pruebas.</t>
  </si>
  <si>
    <t>Implantación del software.</t>
  </si>
  <si>
    <t>Planear actividades de implantación del software de acuerdo con las condiciones de la solución informática.</t>
  </si>
  <si>
    <t>Desplegar el software de acuerdo con la arquitectura y las políticas establecidas.</t>
  </si>
  <si>
    <t>Documentar el proceso de implantación de software siguiendo estándares de calidad.</t>
  </si>
  <si>
    <t>Implantar el software de acuerdo con los niveles de servicio establecidos con el cliente.</t>
  </si>
  <si>
    <t>1. Procedimiento de implementación del software. 2. Manuales técnico, instalación y usuario final.</t>
  </si>
  <si>
    <t>Adopción de buenas prácticas en el proceso de desarrollo de software.</t>
  </si>
  <si>
    <t>Incorporar actividades de aseguramiento de la calidad del software de acuerdo con estándares de la industria.</t>
  </si>
  <si>
    <t>Verificar la calidad del software de acuerdo con las prácticas asociadas en los procesos de desarrollo.</t>
  </si>
  <si>
    <t>Realizar actividades de mejora de la calidad del software a partir de los resultados de la verificación.</t>
  </si>
  <si>
    <t>Documentación de acciones correctivas, preventivas y de mejoramiento del software.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</si>
</sst>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&quot;$&quot;\ * #,##0.0_-;\-&quot;$&quot;\ * #,##0.0_-;_-&quot;$&quot;\ * &quot;-&quot;?_-;_-@"/>
    <numFmt numFmtId="165" formatCode="#,##0.0"/>
  </numFmts>
  <fonts count="9">
    <font>
      <sz val="11.0"/>
      <color theme="1"/>
      <name val="Calibri"/>
      <scheme val="minor"/>
    </font>
    <font>
      <sz val="11.0"/>
      <color theme="1"/>
      <name val="Calibri"/>
    </font>
    <font/>
    <font>
      <b/>
      <sz val="11.0"/>
      <color theme="1"/>
      <name val="Calibri"/>
    </font>
    <font>
      <b/>
      <sz val="8.0"/>
      <color theme="1"/>
      <name val="Arial"/>
    </font>
    <font>
      <sz val="12.0"/>
      <color rgb="FF000000"/>
      <name val="Calibri"/>
    </font>
    <font>
      <sz val="8.0"/>
      <color theme="1"/>
      <name val="Arial"/>
    </font>
    <font>
      <b/>
      <sz val="12.0"/>
      <color rgb="FF000000"/>
      <name val="Calibri"/>
    </font>
    <font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  <fill>
      <patternFill patternType="solid">
        <fgColor rgb="FFDEEAF6"/>
        <bgColor rgb="FFDEEAF6"/>
      </patternFill>
    </fill>
    <fill>
      <patternFill patternType="solid">
        <fgColor rgb="FFC5E0B3"/>
        <bgColor rgb="FFC5E0B3"/>
      </patternFill>
    </fill>
  </fills>
  <borders count="18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1" numFmtId="0" xfId="0" applyAlignment="1" applyBorder="1" applyFont="1">
      <alignment horizontal="center"/>
    </xf>
    <xf borderId="3" fillId="0" fontId="2" numFmtId="0" xfId="0" applyBorder="1" applyFont="1"/>
    <xf borderId="4" fillId="3" fontId="3" numFmtId="0" xfId="0" applyAlignment="1" applyBorder="1" applyFill="1" applyFont="1">
      <alignment horizontal="left" shrinkToFit="0" wrapText="1"/>
    </xf>
    <xf borderId="5" fillId="0" fontId="2" numFmtId="0" xfId="0" applyBorder="1" applyFont="1"/>
    <xf borderId="6" fillId="3" fontId="3" numFmtId="0" xfId="0" applyAlignment="1" applyBorder="1" applyFont="1">
      <alignment horizontal="center"/>
    </xf>
    <xf borderId="7" fillId="0" fontId="2" numFmtId="0" xfId="0" applyBorder="1" applyFont="1"/>
    <xf borderId="8" fillId="4" fontId="1" numFmtId="0" xfId="0" applyBorder="1" applyFill="1" applyFont="1"/>
    <xf borderId="9" fillId="0" fontId="2" numFmtId="0" xfId="0" applyBorder="1" applyFont="1"/>
    <xf borderId="10" fillId="0" fontId="2" numFmtId="0" xfId="0" applyBorder="1" applyFont="1"/>
    <xf borderId="2" fillId="5" fontId="4" numFmtId="0" xfId="0" applyAlignment="1" applyBorder="1" applyFill="1" applyFont="1">
      <alignment horizontal="center"/>
    </xf>
    <xf borderId="11" fillId="0" fontId="2" numFmtId="0" xfId="0" applyBorder="1" applyFont="1"/>
    <xf borderId="2" fillId="6" fontId="4" numFmtId="0" xfId="0" applyAlignment="1" applyBorder="1" applyFill="1" applyFont="1">
      <alignment horizontal="center"/>
    </xf>
    <xf borderId="0" fillId="0" fontId="5" numFmtId="0" xfId="0" applyFont="1"/>
    <xf borderId="0" fillId="0" fontId="5" numFmtId="3" xfId="0" applyAlignment="1" applyFont="1" applyNumberFormat="1">
      <alignment horizontal="left" shrinkToFit="0" wrapText="1"/>
    </xf>
    <xf borderId="8" fillId="3" fontId="4" numFmtId="0" xfId="0" applyAlignment="1" applyBorder="1" applyFont="1">
      <alignment horizontal="center" vertical="center"/>
    </xf>
    <xf borderId="8" fillId="5" fontId="4" numFmtId="0" xfId="0" applyBorder="1" applyFont="1"/>
    <xf borderId="8" fillId="6" fontId="4" numFmtId="0" xfId="0" applyBorder="1" applyFont="1"/>
    <xf borderId="12" fillId="5" fontId="4" numFmtId="0" xfId="0" applyBorder="1" applyFont="1"/>
    <xf borderId="13" fillId="5" fontId="4" numFmtId="0" xfId="0" applyBorder="1" applyFont="1"/>
    <xf borderId="0" fillId="5" fontId="4" numFmtId="0" xfId="0" applyFont="1"/>
    <xf borderId="0" fillId="0" fontId="5" numFmtId="0" xfId="0" applyAlignment="1" applyFont="1">
      <alignment horizontal="left" shrinkToFit="0" wrapText="1"/>
    </xf>
    <xf borderId="14" fillId="5" fontId="4" numFmtId="0" xfId="0" applyAlignment="1" applyBorder="1" applyFont="1">
      <alignment horizontal="center" shrinkToFit="0" vertical="center" wrapText="1"/>
    </xf>
    <xf borderId="8" fillId="5" fontId="6" numFmtId="0" xfId="0" applyAlignment="1" applyBorder="1" applyFont="1">
      <alignment shrinkToFit="0" vertical="center" wrapText="1"/>
    </xf>
    <xf borderId="8" fillId="0" fontId="1" numFmtId="0" xfId="0" applyAlignment="1" applyBorder="1" applyFont="1">
      <alignment vertical="bottom"/>
    </xf>
    <xf borderId="8" fillId="3" fontId="1" numFmtId="0" xfId="0" applyAlignment="1" applyBorder="1" applyFont="1">
      <alignment vertical="bottom"/>
    </xf>
    <xf borderId="8" fillId="0" fontId="1" numFmtId="0" xfId="0" applyAlignment="1" applyBorder="1" applyFont="1">
      <alignment vertical="bottom"/>
    </xf>
    <xf borderId="15" fillId="0" fontId="2" numFmtId="0" xfId="0" applyBorder="1" applyFont="1"/>
    <xf borderId="8" fillId="5" fontId="6" numFmtId="0" xfId="0" applyAlignment="1" applyBorder="1" applyFont="1">
      <alignment horizontal="left" shrinkToFit="0" vertical="center" wrapText="1"/>
    </xf>
    <xf borderId="8" fillId="0" fontId="1" numFmtId="0" xfId="0" applyBorder="1" applyFont="1"/>
    <xf borderId="8" fillId="0" fontId="5" numFmtId="0" xfId="0" applyBorder="1" applyFont="1"/>
    <xf borderId="0" fillId="0" fontId="5" numFmtId="164" xfId="0" applyAlignment="1" applyFont="1" applyNumberFormat="1">
      <alignment horizontal="left" shrinkToFit="0" wrapText="1"/>
    </xf>
    <xf borderId="16" fillId="0" fontId="2" numFmtId="0" xfId="0" applyBorder="1" applyFont="1"/>
    <xf borderId="8" fillId="3" fontId="4" numFmtId="0" xfId="0" applyAlignment="1" applyBorder="1" applyFont="1">
      <alignment horizontal="left" shrinkToFit="0" vertical="center" wrapText="1"/>
    </xf>
    <xf borderId="0" fillId="0" fontId="7" numFmtId="0" xfId="0" applyAlignment="1" applyFont="1">
      <alignment horizontal="left" shrinkToFit="0" wrapText="1"/>
    </xf>
    <xf borderId="14" fillId="6" fontId="4" numFmtId="0" xfId="0" applyAlignment="1" applyBorder="1" applyFont="1">
      <alignment horizontal="center" shrinkToFit="0" vertical="center" wrapText="1"/>
    </xf>
    <xf borderId="8" fillId="6" fontId="6" numFmtId="0" xfId="0" applyAlignment="1" applyBorder="1" applyFont="1">
      <alignment horizontal="left" shrinkToFit="0" vertical="center" wrapText="1"/>
    </xf>
    <xf borderId="8" fillId="0" fontId="6" numFmtId="0" xfId="0" applyAlignment="1" applyBorder="1" applyFont="1">
      <alignment vertical="bottom"/>
    </xf>
    <xf borderId="0" fillId="0" fontId="8" numFmtId="0" xfId="0" applyFont="1"/>
    <xf borderId="0" fillId="0" fontId="8" numFmtId="3" xfId="0" applyFont="1" applyNumberFormat="1"/>
    <xf borderId="8" fillId="6" fontId="6" numFmtId="0" xfId="0" applyAlignment="1" applyBorder="1" applyFont="1">
      <alignment shrinkToFit="0" vertical="center" wrapText="1"/>
    </xf>
    <xf borderId="8" fillId="3" fontId="4" numFmtId="0" xfId="0" applyAlignment="1" applyBorder="1" applyFont="1">
      <alignment shrinkToFit="0" vertical="center" wrapText="1"/>
    </xf>
    <xf borderId="17" fillId="6" fontId="6" numFmtId="0" xfId="0" applyAlignment="1" applyBorder="1" applyFont="1">
      <alignment shrinkToFit="0" vertical="center" wrapText="1"/>
    </xf>
    <xf borderId="8" fillId="3" fontId="1" numFmtId="0" xfId="0" applyAlignment="1" applyBorder="1" applyFont="1">
      <alignment vertical="bottom"/>
    </xf>
    <xf borderId="0" fillId="0" fontId="6" numFmtId="0" xfId="0" applyFont="1"/>
    <xf borderId="0" fillId="0" fontId="6" numFmtId="165" xfId="0" applyFont="1" applyNumberFormat="1"/>
    <xf borderId="0" fillId="0" fontId="1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Motta%20Vargas/Desktop/Archivos%20JJMV/Proyecto%20Formativo%20T3/Proyecto%20Formativo%20ADSO%20Ajuste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Hoja1"/>
      <sheetName val="ProyectoActualizado"/>
      <sheetName val="Perfil del Proyecto"/>
      <sheetName val="Hoja2"/>
      <sheetName val="Horas RAP"/>
      <sheetName val="BcoProyectos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43"/>
    <col customWidth="1" min="2" max="2" width="32.43"/>
    <col customWidth="1" min="3" max="3" width="9.14"/>
    <col customWidth="1" min="4" max="4" width="8.71"/>
    <col customWidth="1" hidden="1" min="5" max="5" width="9.14"/>
    <col customWidth="1" min="6" max="6" width="12.57"/>
    <col customWidth="1" min="7" max="7" width="42.43"/>
    <col customWidth="1" min="8" max="8" width="41.86"/>
    <col customWidth="1" min="9" max="32" width="2.0"/>
    <col customWidth="1" min="33" max="42" width="1.86"/>
    <col customWidth="1" min="43" max="43" width="2.86"/>
    <col customWidth="1" min="44" max="44" width="3.43"/>
    <col customWidth="1" min="45" max="48" width="1.86"/>
    <col customWidth="1" min="49" max="50" width="2.71"/>
    <col customWidth="1" min="51" max="51" width="2.86"/>
    <col customWidth="1" min="52" max="52" width="1.86"/>
    <col customWidth="1" min="53" max="54" width="2.43"/>
    <col customWidth="1" min="55" max="64" width="1.86"/>
  </cols>
  <sheetData>
    <row r="1">
      <c r="A1" s="1"/>
      <c r="B1" s="1"/>
    </row>
    <row r="2">
      <c r="A2" s="2" t="s">
        <v>0</v>
      </c>
      <c r="B2" s="3"/>
      <c r="G2" s="4" t="s">
        <v>1</v>
      </c>
      <c r="H2" s="5"/>
      <c r="I2" s="6" t="s">
        <v>2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</row>
    <row r="3">
      <c r="A3" s="8" t="s">
        <v>3</v>
      </c>
      <c r="B3" s="8"/>
      <c r="G3" s="9"/>
      <c r="H3" s="10"/>
      <c r="I3" s="11" t="s">
        <v>4</v>
      </c>
      <c r="J3" s="12"/>
      <c r="K3" s="12"/>
      <c r="L3" s="3"/>
      <c r="M3" s="13" t="s">
        <v>5</v>
      </c>
      <c r="N3" s="12"/>
      <c r="O3" s="12"/>
      <c r="P3" s="3"/>
      <c r="Q3" s="11" t="s">
        <v>6</v>
      </c>
      <c r="R3" s="12"/>
      <c r="S3" s="12"/>
      <c r="T3" s="3"/>
      <c r="U3" s="13" t="s">
        <v>7</v>
      </c>
      <c r="V3" s="12"/>
      <c r="W3" s="12"/>
      <c r="X3" s="3"/>
      <c r="Y3" s="11" t="s">
        <v>8</v>
      </c>
      <c r="Z3" s="12"/>
      <c r="AA3" s="12"/>
      <c r="AB3" s="3"/>
      <c r="AC3" s="13" t="s">
        <v>9</v>
      </c>
      <c r="AD3" s="12"/>
      <c r="AE3" s="12"/>
      <c r="AF3" s="3"/>
      <c r="AG3" s="11" t="s">
        <v>10</v>
      </c>
      <c r="AH3" s="12"/>
      <c r="AI3" s="12"/>
      <c r="AJ3" s="3"/>
      <c r="AK3" s="13" t="s">
        <v>11</v>
      </c>
      <c r="AL3" s="12"/>
      <c r="AM3" s="12"/>
      <c r="AN3" s="3"/>
      <c r="AO3" s="11" t="s">
        <v>12</v>
      </c>
      <c r="AP3" s="12"/>
      <c r="AQ3" s="12"/>
      <c r="AR3" s="3"/>
      <c r="AS3" s="13" t="s">
        <v>13</v>
      </c>
      <c r="AT3" s="12"/>
      <c r="AU3" s="12"/>
      <c r="AV3" s="3"/>
      <c r="AW3" s="11" t="s">
        <v>14</v>
      </c>
      <c r="AX3" s="12"/>
      <c r="AY3" s="12"/>
      <c r="AZ3" s="3"/>
      <c r="BA3" s="13" t="s">
        <v>15</v>
      </c>
      <c r="BB3" s="12"/>
      <c r="BC3" s="12"/>
      <c r="BD3" s="3"/>
    </row>
    <row r="4" ht="15.0" customHeight="1">
      <c r="A4" s="14" t="s">
        <v>16</v>
      </c>
      <c r="B4" s="15">
        <v>3.029E7</v>
      </c>
      <c r="G4" s="16" t="s">
        <v>17</v>
      </c>
      <c r="H4" s="16" t="s">
        <v>18</v>
      </c>
      <c r="I4" s="17">
        <v>1.0</v>
      </c>
      <c r="J4" s="17">
        <v>2.0</v>
      </c>
      <c r="K4" s="17">
        <v>3.0</v>
      </c>
      <c r="L4" s="17">
        <v>4.0</v>
      </c>
      <c r="M4" s="18">
        <v>1.0</v>
      </c>
      <c r="N4" s="18">
        <v>2.0</v>
      </c>
      <c r="O4" s="18">
        <v>3.0</v>
      </c>
      <c r="P4" s="18">
        <v>4.0</v>
      </c>
      <c r="Q4" s="17">
        <v>1.0</v>
      </c>
      <c r="R4" s="17">
        <v>2.0</v>
      </c>
      <c r="S4" s="17">
        <v>3.0</v>
      </c>
      <c r="T4" s="17">
        <v>4.0</v>
      </c>
      <c r="U4" s="18">
        <v>1.0</v>
      </c>
      <c r="V4" s="18">
        <v>2.0</v>
      </c>
      <c r="W4" s="18">
        <v>3.0</v>
      </c>
      <c r="X4" s="18">
        <v>4.0</v>
      </c>
      <c r="Y4" s="17">
        <v>1.0</v>
      </c>
      <c r="Z4" s="17">
        <v>2.0</v>
      </c>
      <c r="AA4" s="17">
        <v>3.0</v>
      </c>
      <c r="AB4" s="17">
        <v>4.0</v>
      </c>
      <c r="AC4" s="18">
        <v>1.0</v>
      </c>
      <c r="AD4" s="18">
        <v>2.0</v>
      </c>
      <c r="AE4" s="18">
        <v>3.0</v>
      </c>
      <c r="AF4" s="18">
        <v>4.0</v>
      </c>
      <c r="AG4" s="17">
        <v>1.0</v>
      </c>
      <c r="AH4" s="17">
        <v>2.0</v>
      </c>
      <c r="AI4" s="17">
        <v>3.0</v>
      </c>
      <c r="AJ4" s="17">
        <v>4.0</v>
      </c>
      <c r="AK4" s="17">
        <v>1.0</v>
      </c>
      <c r="AL4" s="17">
        <v>2.0</v>
      </c>
      <c r="AM4" s="17">
        <v>3.0</v>
      </c>
      <c r="AN4" s="17">
        <v>4.0</v>
      </c>
      <c r="AO4" s="17">
        <v>1.0</v>
      </c>
      <c r="AP4" s="17">
        <v>2.0</v>
      </c>
      <c r="AQ4" s="17">
        <v>3.0</v>
      </c>
      <c r="AR4" s="17">
        <v>4.0</v>
      </c>
      <c r="AS4" s="17">
        <v>1.0</v>
      </c>
      <c r="AT4" s="17">
        <v>2.0</v>
      </c>
      <c r="AU4" s="17">
        <v>3.0</v>
      </c>
      <c r="AV4" s="17">
        <v>4.0</v>
      </c>
      <c r="AW4" s="17">
        <v>1.0</v>
      </c>
      <c r="AX4" s="17">
        <v>2.0</v>
      </c>
      <c r="AY4" s="17">
        <v>3.0</v>
      </c>
      <c r="AZ4" s="17">
        <v>4.0</v>
      </c>
      <c r="BA4" s="17">
        <v>1.0</v>
      </c>
      <c r="BB4" s="17">
        <v>2.0</v>
      </c>
      <c r="BC4" s="17">
        <v>3.0</v>
      </c>
      <c r="BD4" s="17">
        <v>4.0</v>
      </c>
      <c r="BE4" s="19"/>
      <c r="BG4" s="20"/>
      <c r="BH4" s="20"/>
      <c r="BI4" s="21"/>
      <c r="BJ4" s="21"/>
      <c r="BK4" s="21"/>
      <c r="BL4" s="21"/>
    </row>
    <row r="5">
      <c r="A5" s="22" t="s">
        <v>19</v>
      </c>
      <c r="B5" s="15">
        <v>895000.0</v>
      </c>
      <c r="G5" s="23" t="s">
        <v>20</v>
      </c>
      <c r="H5" s="24" t="s">
        <v>21</v>
      </c>
      <c r="I5" s="25"/>
      <c r="J5" s="26"/>
      <c r="K5" s="26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7"/>
      <c r="BF5" s="27"/>
      <c r="BG5" s="27"/>
      <c r="BH5" s="27"/>
      <c r="BI5" s="27"/>
      <c r="BJ5" s="27"/>
      <c r="BK5" s="27"/>
      <c r="BL5" s="27"/>
    </row>
    <row r="6">
      <c r="A6" s="22" t="s">
        <v>22</v>
      </c>
      <c r="B6" s="15">
        <v>1800000.0</v>
      </c>
      <c r="G6" s="28"/>
      <c r="H6" s="29" t="s">
        <v>23</v>
      </c>
      <c r="I6" s="25"/>
      <c r="J6" s="25"/>
      <c r="K6" s="26"/>
      <c r="L6" s="26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7"/>
      <c r="BF6" s="27"/>
      <c r="BG6" s="27"/>
      <c r="BH6" s="27"/>
      <c r="BI6" s="27"/>
      <c r="BJ6" s="27"/>
      <c r="BK6" s="27"/>
      <c r="BL6" s="27"/>
    </row>
    <row r="7" ht="26.25" customHeight="1">
      <c r="A7" s="30" t="s">
        <v>24</v>
      </c>
      <c r="B7" s="15">
        <v>2840000.0</v>
      </c>
      <c r="G7" s="28"/>
      <c r="H7" s="29" t="s">
        <v>25</v>
      </c>
      <c r="I7" s="25"/>
      <c r="J7" s="25"/>
      <c r="K7" s="25"/>
      <c r="L7" s="26"/>
      <c r="M7" s="26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7"/>
      <c r="BF7" s="27"/>
      <c r="BG7" s="27"/>
      <c r="BH7" s="27"/>
      <c r="BI7" s="27"/>
      <c r="BJ7" s="27"/>
      <c r="BK7" s="27"/>
      <c r="BL7" s="27"/>
    </row>
    <row r="8" ht="26.25" customHeight="1">
      <c r="A8" s="31" t="s">
        <v>26</v>
      </c>
      <c r="B8" s="32">
        <v>4.26E7</v>
      </c>
      <c r="G8" s="28"/>
      <c r="H8" s="29" t="s">
        <v>27</v>
      </c>
      <c r="I8" s="25"/>
      <c r="J8" s="25"/>
      <c r="K8" s="25"/>
      <c r="L8" s="25"/>
      <c r="M8" s="26"/>
      <c r="N8" s="26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7"/>
      <c r="BF8" s="27"/>
      <c r="BG8" s="27"/>
      <c r="BH8" s="27"/>
      <c r="BI8" s="27"/>
      <c r="BJ8" s="27"/>
      <c r="BK8" s="27"/>
      <c r="BL8" s="27"/>
    </row>
    <row r="9">
      <c r="A9" s="22" t="s">
        <v>28</v>
      </c>
      <c r="B9" s="22">
        <v>2000000.0</v>
      </c>
      <c r="G9" s="33"/>
      <c r="H9" s="34" t="s">
        <v>29</v>
      </c>
      <c r="I9" s="25"/>
      <c r="J9" s="25"/>
      <c r="K9" s="25"/>
      <c r="L9" s="25"/>
      <c r="M9" s="25"/>
      <c r="N9" s="26"/>
      <c r="O9" s="26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7"/>
      <c r="BF9" s="27"/>
      <c r="BG9" s="27"/>
      <c r="BH9" s="27"/>
      <c r="BI9" s="27"/>
      <c r="BJ9" s="27"/>
      <c r="BK9" s="27"/>
      <c r="BL9" s="27"/>
    </row>
    <row r="10">
      <c r="A10" s="22" t="s">
        <v>30</v>
      </c>
      <c r="B10" s="35">
        <v>3.029E7</v>
      </c>
      <c r="G10" s="36" t="s">
        <v>31</v>
      </c>
      <c r="H10" s="37" t="s">
        <v>32</v>
      </c>
      <c r="I10" s="25"/>
      <c r="J10" s="25"/>
      <c r="K10" s="25"/>
      <c r="L10" s="25"/>
      <c r="M10" s="25"/>
      <c r="N10" s="25"/>
      <c r="O10" s="26"/>
      <c r="P10" s="38" t="s">
        <v>33</v>
      </c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7"/>
      <c r="BF10" s="27"/>
      <c r="BG10" s="27"/>
      <c r="BH10" s="27"/>
      <c r="BI10" s="27"/>
      <c r="BJ10" s="27"/>
      <c r="BK10" s="27"/>
      <c r="BL10" s="27"/>
    </row>
    <row r="11">
      <c r="A11" s="39" t="s">
        <v>34</v>
      </c>
      <c r="B11" s="40">
        <f>SUM(B4:B10)</f>
        <v>110715000</v>
      </c>
      <c r="G11" s="28"/>
      <c r="H11" s="41" t="s">
        <v>35</v>
      </c>
      <c r="I11" s="25"/>
      <c r="J11" s="25"/>
      <c r="K11" s="25"/>
      <c r="L11" s="25"/>
      <c r="M11" s="25"/>
      <c r="N11" s="25"/>
      <c r="O11" s="26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7"/>
      <c r="BF11" s="27"/>
      <c r="BG11" s="27"/>
      <c r="BH11" s="27"/>
      <c r="BI11" s="27"/>
      <c r="BJ11" s="27"/>
      <c r="BK11" s="27"/>
      <c r="BL11" s="27"/>
    </row>
    <row r="12">
      <c r="G12" s="28"/>
      <c r="H12" s="41" t="s">
        <v>36</v>
      </c>
      <c r="I12" s="25"/>
      <c r="J12" s="25"/>
      <c r="K12" s="25"/>
      <c r="L12" s="25"/>
      <c r="M12" s="25"/>
      <c r="N12" s="25"/>
      <c r="O12" s="26"/>
      <c r="P12" s="26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7"/>
      <c r="BF12" s="27"/>
      <c r="BG12" s="27"/>
      <c r="BH12" s="27"/>
      <c r="BI12" s="27"/>
      <c r="BJ12" s="27"/>
      <c r="BK12" s="27"/>
      <c r="BL12" s="27"/>
    </row>
    <row r="13" ht="25.5" customHeight="1">
      <c r="G13" s="28"/>
      <c r="H13" s="41" t="s">
        <v>37</v>
      </c>
      <c r="I13" s="25"/>
      <c r="J13" s="25"/>
      <c r="K13" s="25"/>
      <c r="L13" s="25"/>
      <c r="M13" s="25"/>
      <c r="N13" s="25"/>
      <c r="O13" s="25"/>
      <c r="P13" s="26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7"/>
      <c r="BF13" s="27"/>
      <c r="BG13" s="27"/>
      <c r="BH13" s="27"/>
      <c r="BI13" s="27"/>
      <c r="BJ13" s="27"/>
      <c r="BK13" s="27"/>
      <c r="BL13" s="27"/>
    </row>
    <row r="14">
      <c r="G14" s="33"/>
      <c r="H14" s="34" t="s">
        <v>38</v>
      </c>
      <c r="I14" s="25"/>
      <c r="J14" s="25"/>
      <c r="K14" s="25"/>
      <c r="L14" s="25"/>
      <c r="M14" s="25"/>
      <c r="N14" s="25"/>
      <c r="O14" s="25"/>
      <c r="P14" s="25"/>
      <c r="Q14" s="26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7"/>
      <c r="BF14" s="27"/>
      <c r="BG14" s="27"/>
      <c r="BH14" s="27"/>
      <c r="BI14" s="27"/>
      <c r="BJ14" s="27"/>
      <c r="BK14" s="27"/>
      <c r="BL14" s="27"/>
    </row>
    <row r="15">
      <c r="G15" s="23" t="s">
        <v>39</v>
      </c>
      <c r="H15" s="29" t="s">
        <v>40</v>
      </c>
      <c r="I15" s="25"/>
      <c r="J15" s="25"/>
      <c r="K15" s="25"/>
      <c r="L15" s="25"/>
      <c r="M15" s="25"/>
      <c r="N15" s="25"/>
      <c r="O15" s="25"/>
      <c r="P15" s="25"/>
      <c r="Q15" s="25"/>
      <c r="R15" s="26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7"/>
      <c r="BF15" s="27"/>
      <c r="BG15" s="27"/>
      <c r="BH15" s="27"/>
      <c r="BI15" s="27"/>
      <c r="BJ15" s="27"/>
      <c r="BK15" s="27"/>
      <c r="BL15" s="27"/>
    </row>
    <row r="16">
      <c r="G16" s="28"/>
      <c r="H16" s="24" t="s">
        <v>41</v>
      </c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6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7"/>
      <c r="BF16" s="27"/>
      <c r="BG16" s="27"/>
      <c r="BH16" s="27"/>
      <c r="BI16" s="27"/>
      <c r="BJ16" s="27"/>
      <c r="BK16" s="27"/>
      <c r="BL16" s="27"/>
    </row>
    <row r="17">
      <c r="G17" s="28"/>
      <c r="H17" s="24" t="s">
        <v>42</v>
      </c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6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7"/>
      <c r="BF17" s="27"/>
      <c r="BG17" s="27"/>
      <c r="BH17" s="27"/>
      <c r="BI17" s="27"/>
      <c r="BJ17" s="27"/>
      <c r="BK17" s="27"/>
      <c r="BL17" s="27"/>
    </row>
    <row r="18">
      <c r="G18" s="33"/>
      <c r="H18" s="34" t="s">
        <v>43</v>
      </c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6"/>
      <c r="U18" s="26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7"/>
      <c r="BF18" s="27"/>
      <c r="BG18" s="27"/>
      <c r="BH18" s="27"/>
      <c r="BI18" s="27"/>
      <c r="BJ18" s="27"/>
      <c r="BK18" s="27"/>
      <c r="BL18" s="27"/>
    </row>
    <row r="19">
      <c r="G19" s="36" t="s">
        <v>44</v>
      </c>
      <c r="H19" s="41" t="s">
        <v>45</v>
      </c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6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7"/>
      <c r="BF19" s="27"/>
      <c r="BG19" s="27"/>
      <c r="BH19" s="27"/>
      <c r="BI19" s="27"/>
      <c r="BJ19" s="27"/>
      <c r="BK19" s="27"/>
      <c r="BL19" s="27"/>
    </row>
    <row r="20">
      <c r="G20" s="28"/>
      <c r="H20" s="41" t="s">
        <v>46</v>
      </c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6"/>
      <c r="V20" s="26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7"/>
      <c r="BF20" s="27"/>
      <c r="BG20" s="27"/>
      <c r="BH20" s="27"/>
      <c r="BI20" s="27"/>
      <c r="BJ20" s="27"/>
      <c r="BK20" s="27"/>
      <c r="BL20" s="27"/>
    </row>
    <row r="21" ht="15.75" customHeight="1">
      <c r="G21" s="28"/>
      <c r="H21" s="37" t="s">
        <v>47</v>
      </c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6"/>
      <c r="W21" s="26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7"/>
      <c r="BF21" s="27"/>
      <c r="BG21" s="27"/>
      <c r="BH21" s="27"/>
      <c r="BI21" s="27"/>
      <c r="BJ21" s="27"/>
      <c r="BK21" s="27"/>
      <c r="BL21" s="27"/>
    </row>
    <row r="22" ht="15.75" customHeight="1">
      <c r="G22" s="33"/>
      <c r="H22" s="34" t="s">
        <v>48</v>
      </c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6"/>
      <c r="X22" s="26"/>
      <c r="Y22" s="26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7"/>
      <c r="BF22" s="27"/>
      <c r="BG22" s="27"/>
      <c r="BH22" s="27"/>
      <c r="BI22" s="27"/>
      <c r="BJ22" s="27"/>
      <c r="BK22" s="27"/>
      <c r="BL22" s="27"/>
    </row>
    <row r="23" ht="15.75" customHeight="1">
      <c r="G23" s="23" t="s">
        <v>49</v>
      </c>
      <c r="H23" s="24" t="s">
        <v>50</v>
      </c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6"/>
      <c r="Y23" s="26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7"/>
      <c r="BF23" s="27"/>
      <c r="BG23" s="27"/>
      <c r="BH23" s="27"/>
      <c r="BI23" s="27"/>
      <c r="BJ23" s="27"/>
      <c r="BK23" s="27"/>
      <c r="BL23" s="27"/>
    </row>
    <row r="24" ht="15.75" customHeight="1">
      <c r="G24" s="28"/>
      <c r="H24" s="24" t="s">
        <v>51</v>
      </c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6"/>
      <c r="Y24" s="26"/>
      <c r="Z24" s="26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7"/>
      <c r="BF24" s="27"/>
      <c r="BG24" s="27"/>
      <c r="BH24" s="27"/>
      <c r="BI24" s="27"/>
      <c r="BJ24" s="27"/>
      <c r="BK24" s="27"/>
      <c r="BL24" s="27"/>
    </row>
    <row r="25" ht="15.75" customHeight="1">
      <c r="G25" s="28"/>
      <c r="H25" s="24" t="s">
        <v>52</v>
      </c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6"/>
      <c r="Z25" s="26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7"/>
      <c r="BF25" s="27"/>
      <c r="BG25" s="27"/>
      <c r="BH25" s="27"/>
      <c r="BI25" s="27"/>
      <c r="BJ25" s="27"/>
      <c r="BK25" s="27"/>
      <c r="BL25" s="27"/>
    </row>
    <row r="26" ht="15.75" customHeight="1">
      <c r="G26" s="28"/>
      <c r="H26" s="24" t="s">
        <v>53</v>
      </c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6"/>
      <c r="AA26" s="26"/>
      <c r="AB26" s="26"/>
      <c r="AC26" s="26"/>
      <c r="AD26" s="26"/>
      <c r="AE26" s="26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7"/>
      <c r="BF26" s="27"/>
      <c r="BG26" s="27"/>
      <c r="BH26" s="27"/>
      <c r="BI26" s="27"/>
      <c r="BJ26" s="27"/>
      <c r="BK26" s="27"/>
      <c r="BL26" s="27"/>
    </row>
    <row r="27" ht="15.75" customHeight="1">
      <c r="G27" s="28"/>
      <c r="H27" s="24" t="s">
        <v>54</v>
      </c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6"/>
      <c r="AE27" s="26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7"/>
      <c r="BF27" s="27"/>
      <c r="BG27" s="27"/>
      <c r="BH27" s="27"/>
      <c r="BI27" s="27"/>
      <c r="BJ27" s="27"/>
      <c r="BK27" s="27"/>
      <c r="BL27" s="27"/>
    </row>
    <row r="28" ht="15.75" customHeight="1">
      <c r="G28" s="33"/>
      <c r="H28" s="42" t="s">
        <v>55</v>
      </c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6"/>
      <c r="AF28" s="26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7"/>
      <c r="BF28" s="27"/>
      <c r="BG28" s="27"/>
      <c r="BH28" s="27"/>
      <c r="BI28" s="27"/>
      <c r="BJ28" s="27"/>
      <c r="BK28" s="27"/>
      <c r="BL28" s="27"/>
    </row>
    <row r="29" ht="15.75" customHeight="1">
      <c r="G29" s="36" t="s">
        <v>56</v>
      </c>
      <c r="H29" s="43" t="s">
        <v>57</v>
      </c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6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7"/>
      <c r="BF29" s="27"/>
      <c r="BG29" s="27"/>
      <c r="BH29" s="27"/>
      <c r="BI29" s="27"/>
      <c r="BJ29" s="27"/>
      <c r="BK29" s="27"/>
      <c r="BL29" s="27"/>
    </row>
    <row r="30" ht="15.75" customHeight="1">
      <c r="G30" s="28"/>
      <c r="H30" s="41" t="s">
        <v>58</v>
      </c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6"/>
      <c r="AG30" s="26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7"/>
      <c r="BF30" s="27"/>
      <c r="BG30" s="27"/>
      <c r="BH30" s="27"/>
      <c r="BI30" s="27"/>
      <c r="BJ30" s="27"/>
      <c r="BK30" s="27"/>
      <c r="BL30" s="27"/>
    </row>
    <row r="31" ht="15.75" customHeight="1">
      <c r="G31" s="28"/>
      <c r="H31" s="41" t="s">
        <v>59</v>
      </c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6"/>
      <c r="AG31" s="26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7"/>
      <c r="BF31" s="27"/>
      <c r="BG31" s="27"/>
      <c r="BH31" s="27"/>
      <c r="BI31" s="27"/>
      <c r="BJ31" s="27"/>
      <c r="BK31" s="27"/>
      <c r="BL31" s="27"/>
    </row>
    <row r="32" ht="15.75" customHeight="1">
      <c r="G32" s="28"/>
      <c r="H32" s="41" t="s">
        <v>60</v>
      </c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6"/>
      <c r="AI32" s="26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7"/>
      <c r="BF32" s="27"/>
      <c r="BG32" s="27"/>
      <c r="BH32" s="27"/>
      <c r="BI32" s="27"/>
      <c r="BJ32" s="27"/>
      <c r="BK32" s="27"/>
      <c r="BL32" s="27"/>
    </row>
    <row r="33" ht="15.75" customHeight="1">
      <c r="G33" s="33"/>
      <c r="H33" s="42" t="s">
        <v>61</v>
      </c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6"/>
      <c r="AI33" s="26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7"/>
      <c r="BF33" s="27"/>
      <c r="BG33" s="27"/>
      <c r="BH33" s="27"/>
      <c r="BI33" s="27"/>
      <c r="BJ33" s="27"/>
      <c r="BK33" s="27"/>
      <c r="BL33" s="27"/>
    </row>
    <row r="34" ht="15.75" customHeight="1">
      <c r="G34" s="23" t="s">
        <v>62</v>
      </c>
      <c r="H34" s="24" t="s">
        <v>63</v>
      </c>
      <c r="I34" s="25"/>
      <c r="J34" s="25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44"/>
      <c r="BF34" s="44"/>
      <c r="BG34" s="44"/>
      <c r="BH34" s="44"/>
      <c r="BI34" s="44"/>
      <c r="BJ34" s="44"/>
      <c r="BK34" s="44"/>
      <c r="BL34" s="44"/>
    </row>
    <row r="35" ht="15.75" customHeight="1">
      <c r="G35" s="28"/>
      <c r="H35" s="24" t="s">
        <v>64</v>
      </c>
      <c r="I35" s="25"/>
      <c r="J35" s="25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44"/>
      <c r="BF35" s="44"/>
      <c r="BG35" s="44"/>
      <c r="BH35" s="44"/>
      <c r="BI35" s="44"/>
      <c r="BJ35" s="44"/>
      <c r="BK35" s="44"/>
      <c r="BL35" s="44"/>
    </row>
    <row r="36" ht="15.75" customHeight="1">
      <c r="G36" s="28"/>
      <c r="H36" s="24" t="s">
        <v>65</v>
      </c>
      <c r="I36" s="25"/>
      <c r="J36" s="25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44"/>
      <c r="BF36" s="44"/>
      <c r="BG36" s="44"/>
      <c r="BH36" s="44"/>
      <c r="BI36" s="44"/>
      <c r="BJ36" s="44"/>
      <c r="BK36" s="44"/>
      <c r="BL36" s="44"/>
    </row>
    <row r="37" ht="15.75" customHeight="1">
      <c r="G37" s="33"/>
      <c r="H37" s="42" t="s">
        <v>66</v>
      </c>
      <c r="I37" s="25"/>
      <c r="J37" s="25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44"/>
      <c r="BF37" s="44"/>
      <c r="BG37" s="44"/>
      <c r="BH37" s="44"/>
      <c r="BI37" s="44"/>
      <c r="BJ37" s="44"/>
      <c r="BK37" s="44"/>
      <c r="BL37" s="44"/>
    </row>
    <row r="38" ht="15.75" customHeight="1"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</row>
    <row r="39" ht="15.75" customHeight="1"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</row>
    <row r="40" ht="15.75" customHeight="1"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</row>
    <row r="41" ht="15.75" customHeight="1"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</row>
    <row r="42" ht="15.75" customHeight="1"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</row>
    <row r="43" ht="15.75" customHeight="1"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</row>
    <row r="44" ht="15.75" customHeight="1"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</row>
    <row r="45" ht="15.75" customHeight="1"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</row>
    <row r="46" ht="15.75" customHeight="1"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</row>
    <row r="47" ht="15.75" customHeight="1"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</row>
    <row r="48" ht="15.75" customHeight="1"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</row>
    <row r="49" ht="15.75" customHeight="1"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</row>
    <row r="50" ht="15.75" customHeight="1">
      <c r="G50" s="46"/>
      <c r="H50" s="46"/>
      <c r="I50" s="46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</row>
    <row r="51" ht="15.75" customHeight="1">
      <c r="G51" s="46"/>
      <c r="H51" s="46"/>
      <c r="I51" s="46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</row>
    <row r="52" ht="15.75" customHeight="1">
      <c r="G52" s="46"/>
      <c r="H52" s="46"/>
      <c r="I52" s="46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</row>
    <row r="53" ht="15.75" customHeight="1">
      <c r="G53" s="46"/>
      <c r="H53" s="46"/>
      <c r="I53" s="46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</row>
    <row r="54" ht="15.75" customHeight="1">
      <c r="G54" s="46"/>
      <c r="H54" s="46"/>
      <c r="I54" s="46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</row>
    <row r="55" ht="15.75" customHeight="1">
      <c r="G55" s="46"/>
      <c r="H55" s="46"/>
      <c r="I55" s="46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</row>
    <row r="56" ht="15.75" customHeight="1">
      <c r="G56" s="47"/>
      <c r="H56" s="47"/>
      <c r="I56" s="47"/>
    </row>
    <row r="57" ht="15.75" customHeight="1">
      <c r="G57" s="47"/>
      <c r="H57" s="47"/>
      <c r="I57" s="47"/>
    </row>
    <row r="58" ht="15.75" customHeight="1">
      <c r="G58" s="47"/>
      <c r="H58" s="47"/>
      <c r="I58" s="47"/>
    </row>
    <row r="59" ht="15.75" customHeight="1">
      <c r="G59" s="47"/>
      <c r="H59" s="47"/>
      <c r="I59" s="47"/>
    </row>
    <row r="60" ht="15.75" customHeight="1">
      <c r="G60" s="47"/>
      <c r="H60" s="47"/>
      <c r="I60" s="47"/>
    </row>
    <row r="61" ht="15.75" customHeight="1">
      <c r="G61" s="47"/>
      <c r="H61" s="47"/>
      <c r="I61" s="47"/>
    </row>
    <row r="62" ht="15.75" customHeight="1">
      <c r="G62" s="47"/>
      <c r="H62" s="47"/>
      <c r="I62" s="47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AG3:AJ3"/>
    <mergeCell ref="AK3:AN3"/>
    <mergeCell ref="AO3:AR3"/>
    <mergeCell ref="AS3:AV3"/>
    <mergeCell ref="AW3:AZ3"/>
    <mergeCell ref="BA3:BD3"/>
    <mergeCell ref="A2:B2"/>
    <mergeCell ref="G2:H3"/>
    <mergeCell ref="I2:BD2"/>
    <mergeCell ref="I3:L3"/>
    <mergeCell ref="M3:P3"/>
    <mergeCell ref="Q3:T3"/>
    <mergeCell ref="U3:X3"/>
    <mergeCell ref="G29:G33"/>
    <mergeCell ref="G34:G37"/>
    <mergeCell ref="Y3:AB3"/>
    <mergeCell ref="AC3:AF3"/>
    <mergeCell ref="G5:G9"/>
    <mergeCell ref="G10:G14"/>
    <mergeCell ref="G15:G18"/>
    <mergeCell ref="G19:G22"/>
    <mergeCell ref="G23:G28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2025-09-30T12:44:13Z</dcterms:created>
  <dc:creator>José de Jesús Motta Vargas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2025-10-21T14:22:58Z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346c8005-1789-4cad-b491-95d3278022bb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